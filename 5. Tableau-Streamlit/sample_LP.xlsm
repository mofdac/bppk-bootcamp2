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Training\Bootcamp_MOFDAC\"/>
    </mc:Choice>
  </mc:AlternateContent>
  <xr:revisionPtr revIDLastSave="0" documentId="13_ncr:1_{5846F2EE-76D3-4462-9108-2DECA7B6DF5E}" xr6:coauthVersionLast="46" xr6:coauthVersionMax="46" xr10:uidLastSave="{00000000-0000-0000-0000-000000000000}"/>
  <bookViews>
    <workbookView xWindow="-120" yWindow="-120" windowWidth="20730" windowHeight="11310" firstSheet="1" activeTab="2" xr2:uid="{00000000-000D-0000-FFFF-FFFF00000000}"/>
  </bookViews>
  <sheets>
    <sheet name="Module1" sheetId="1" state="veryHidden" r:id=""/>
    <sheet name="Production Report" sheetId="2" r:id="rId1"/>
    <sheet name="Calculate" sheetId="3" r:id="rId2"/>
  </sheets>
  <definedNames>
    <definedName name="_Regression_Int" localSheetId="1" hidden="1">1</definedName>
    <definedName name="coin_cuttype" localSheetId="1" hidden="1">1</definedName>
    <definedName name="coin_dualtol" localSheetId="1" hidden="1">0.0000001</definedName>
    <definedName name="coin_heurs" localSheetId="1" hidden="1">1</definedName>
    <definedName name="coin_integerpresolve" localSheetId="1" hidden="1">1</definedName>
    <definedName name="coin_presolve1" localSheetId="1" hidden="1">1</definedName>
    <definedName name="coin_primaltol" localSheetId="1" hidden="1">0.0000001</definedName>
    <definedName name="grb_bariter" localSheetId="1" hidden="1">1E+100</definedName>
    <definedName name="grb_bartol" localSheetId="1" hidden="1">0.00000001</definedName>
    <definedName name="grb_crossover" localSheetId="1" hidden="1">-1</definedName>
    <definedName name="grb_cutoff" localSheetId="1" hidden="1">1E+100</definedName>
    <definedName name="grb_cuts" localSheetId="1" hidden="1">-1</definedName>
    <definedName name="grb_focus" localSheetId="1" hidden="1">0</definedName>
    <definedName name="grb_heur" localSheetId="1" hidden="1">0.05</definedName>
    <definedName name="grb_infeas" localSheetId="1" hidden="1">0.000001</definedName>
    <definedName name="grb_inttol" localSheetId="1" hidden="1">0.00001</definedName>
    <definedName name="grb_method" localSheetId="1" hidden="1">1</definedName>
    <definedName name="grb_nodefilestart" localSheetId="1" hidden="1">1E+100</definedName>
    <definedName name="grb_optimal" localSheetId="1" hidden="1">0.000001</definedName>
    <definedName name="grb_order" localSheetId="1" hidden="1">-1</definedName>
    <definedName name="grb_presolve" localSheetId="1" hidden="1">-1</definedName>
    <definedName name="grb_pricing" localSheetId="1" hidden="1">-1</definedName>
    <definedName name="grb_relmip" localSheetId="1" hidden="1">0.0001</definedName>
    <definedName name="grb_rootmethod" localSheetId="1" hidden="1">1</definedName>
    <definedName name="grb_submip" localSheetId="1" hidden="1">500</definedName>
    <definedName name="grb_symmetry" localSheetId="1" hidden="1">-1</definedName>
    <definedName name="grb_threads" localSheetId="1" hidden="1">0</definedName>
    <definedName name="grb_var" localSheetId="1" hidden="1">-1</definedName>
    <definedName name="solver_acc" localSheetId="1" hidden="1">0.001</definedName>
    <definedName name="solver_adj" localSheetId="1" hidden="1">'Production Report'!$C$5:$D$5</definedName>
    <definedName name="solver_adj_ob" localSheetId="1" hidden="1">1</definedName>
    <definedName name="solver_ars" localSheetId="1" hidden="1">1</definedName>
    <definedName name="solver_bigm" localSheetId="1" hidden="1">1000000</definedName>
    <definedName name="solver_bnd" localSheetId="1" hidden="1">1</definedName>
    <definedName name="solver_cha" localSheetId="1" hidden="1">0</definedName>
    <definedName name="solver_chn" localSheetId="1" hidden="1">4</definedName>
    <definedName name="solver_cht" localSheetId="1" hidden="1">0</definedName>
    <definedName name="solver_corr" hidden="1">1</definedName>
    <definedName name="solver_ctp1" hidden="1">0</definedName>
    <definedName name="solver_ctp2" hidden="1">0</definedName>
    <definedName name="solver_cvg" localSheetId="1" hidden="1">0.0001</definedName>
    <definedName name="solver_dia" localSheetId="1" hidden="1">5</definedName>
    <definedName name="solver_disp" hidden="1">0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eval" hidden="1">0</definedName>
    <definedName name="solver_fea" localSheetId="1" hidden="1">0.000001</definedName>
    <definedName name="solver_fns" localSheetId="1" hidden="1">0</definedName>
    <definedName name="solver_gap" localSheetId="1" hidden="1">0.0000001</definedName>
    <definedName name="solver_glb" localSheetId="1" hidden="1">-1E+30</definedName>
    <definedName name="solver_gub" localSheetId="1" hidden="1">1E+30</definedName>
    <definedName name="solver_iao" localSheetId="1" hidden="1">0</definedName>
    <definedName name="solver_ibd" localSheetId="1" hidden="1">2</definedName>
    <definedName name="solver_inc" localSheetId="1" hidden="1">0</definedName>
    <definedName name="solver_int" localSheetId="1" hidden="1">0</definedName>
    <definedName name="solver_ipd" localSheetId="1" hidden="1">3</definedName>
    <definedName name="solver_ipi" localSheetId="1" hidden="1">1</definedName>
    <definedName name="solver_ips" localSheetId="1" hidden="1">0.99</definedName>
    <definedName name="solver_irs" localSheetId="1" hidden="1">0</definedName>
    <definedName name="solver_ism" localSheetId="1" hidden="1">0</definedName>
    <definedName name="solver_itr" localSheetId="1" hidden="1">2147483647</definedName>
    <definedName name="solver_lcens" hidden="1">-1E+30</definedName>
    <definedName name="solver_lcut" hidden="1">-1E+30</definedName>
    <definedName name="solver_lhs1" localSheetId="1" hidden="1">'Production Report'!$C$5</definedName>
    <definedName name="solver_lhs2" localSheetId="1" hidden="1">'Production Report'!$C$5</definedName>
    <definedName name="solver_lhs3" localSheetId="1" hidden="1">'Production Report'!$D$5</definedName>
    <definedName name="solver_lhs4" localSheetId="1" hidden="1">'Production Report'!$D$5</definedName>
    <definedName name="solver_lhs5" localSheetId="1" hidden="1">'Production Report'!$E$9:$E$11</definedName>
    <definedName name="solver_lin" localSheetId="1" hidden="1">2</definedName>
    <definedName name="solver_loc" localSheetId="1" hidden="1">4</definedName>
    <definedName name="solver_log" localSheetId="1" hidden="1">1</definedName>
    <definedName name="solver_lpp" localSheetId="1" hidden="1">0</definedName>
    <definedName name="solver_lpt" localSheetId="1" hidden="1">0</definedName>
    <definedName name="solver_lva" localSheetId="1" hidden="1">0</definedName>
    <definedName name="solver_mda" localSheetId="1" hidden="1">4</definedName>
    <definedName name="solver_met" localSheetId="1" hidden="1">1</definedName>
    <definedName name="solver_mip" localSheetId="1" hidden="1">2147483647</definedName>
    <definedName name="solver_mni" localSheetId="1" hidden="1">30</definedName>
    <definedName name="solver_mod" localSheetId="1" hidden="1">1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opt" localSheetId="1" hidden="1">1</definedName>
    <definedName name="solver_nsim" hidden="1">1</definedName>
    <definedName name="solver_ntr" localSheetId="1" hidden="1">0</definedName>
    <definedName name="solver_ntri" hidden="1">1000</definedName>
    <definedName name="solver_num" localSheetId="1" hidden="1">5</definedName>
    <definedName name="solver_nwt" localSheetId="1" hidden="1">1</definedName>
    <definedName name="solver_ofx" localSheetId="1" hidden="1">2</definedName>
    <definedName name="solver_opt" localSheetId="1" hidden="1">'Production Report'!$E$6</definedName>
    <definedName name="solver_piv" localSheetId="1" hidden="1">0.000001</definedName>
    <definedName name="solver_pre" localSheetId="1" hidden="1">0.000001</definedName>
    <definedName name="solver_pro" localSheetId="1" hidden="1">2</definedName>
    <definedName name="solver_psi" localSheetId="1" hidden="1">0</definedName>
    <definedName name="solver_rbv" localSheetId="1" hidden="1">1</definedName>
    <definedName name="solver_rdp" localSheetId="1" hidden="1">1</definedName>
    <definedName name="solver_red" localSheetId="1" hidden="1">0.000001</definedName>
    <definedName name="solver_rel1" localSheetId="1" hidden="1">4</definedName>
    <definedName name="solver_rel2" localSheetId="1" hidden="1">3</definedName>
    <definedName name="solver_rel3" localSheetId="1" hidden="1">4</definedName>
    <definedName name="solver_rel4" localSheetId="1" hidden="1">3</definedName>
    <definedName name="solver_rel5" localSheetId="1" hidden="1">1</definedName>
    <definedName name="solver_reo" localSheetId="1" hidden="1">2</definedName>
    <definedName name="solver_rep" localSheetId="1" hidden="1">0</definedName>
    <definedName name="solver_res" localSheetId="1" hidden="1">0.05</definedName>
    <definedName name="solver_rhs1" localSheetId="1" hidden="1">"integer"</definedName>
    <definedName name="solver_rhs2" localSheetId="1" hidden="1">0</definedName>
    <definedName name="solver_rhs3" localSheetId="1" hidden="1">"integer"</definedName>
    <definedName name="solver_rhs4" localSheetId="1" hidden="1">0</definedName>
    <definedName name="solver_rhs5" localSheetId="1" hidden="1">'Production Report'!$F$9:$F$11</definedName>
    <definedName name="solver_rlx" localSheetId="1" hidden="1">2</definedName>
    <definedName name="solver_rsd" localSheetId="1" hidden="1">0</definedName>
    <definedName name="solver_rsmp" hidden="1">2</definedName>
    <definedName name="solver_rtr" localSheetId="1" hidden="1">0</definedName>
    <definedName name="solver_scl" localSheetId="1" hidden="1">1</definedName>
    <definedName name="solver_seed" hidden="1">0</definedName>
    <definedName name="solver_sel" localSheetId="1" hidden="1">1</definedName>
    <definedName name="solver_sho" localSheetId="1" hidden="1">2</definedName>
    <definedName name="solver_slv" localSheetId="1" hidden="1">0</definedName>
    <definedName name="solver_slvu" localSheetId="1" hidden="1">0</definedName>
    <definedName name="solver_soc" localSheetId="1" hidden="1">0</definedName>
    <definedName name="solver_ssz" localSheetId="1" hidden="1">100</definedName>
    <definedName name="solver_sta" localSheetId="1" hidden="1">0</definedName>
    <definedName name="solver_std" localSheetId="1" hidden="1">0</definedName>
    <definedName name="solver_sthr" hidden="1">0</definedName>
    <definedName name="solver_thr" localSheetId="1" hidden="1">0</definedName>
    <definedName name="solver_tim" localSheetId="1" hidden="1">2147483647</definedName>
    <definedName name="solver_tms" localSheetId="1" hidden="1">0</definedName>
    <definedName name="solver_tol" localSheetId="1" hidden="1">0.01</definedName>
    <definedName name="solver_tree_a" localSheetId="1" hidden="1">1</definedName>
    <definedName name="solver_tree_b" localSheetId="1" hidden="1">1</definedName>
    <definedName name="solver_tree_ce" localSheetId="1" hidden="1">1</definedName>
    <definedName name="solver_tree_dn" localSheetId="1" hidden="1">1</definedName>
    <definedName name="solver_tree_rt" localSheetId="1" hidden="1">999999999999</definedName>
    <definedName name="solver_typ" localSheetId="1" hidden="1">1</definedName>
    <definedName name="solver_ubigm" localSheetId="1" hidden="1">1000000</definedName>
    <definedName name="solver_ucens" hidden="1">1E+30</definedName>
    <definedName name="solver_ucut" hidden="1">1E+30</definedName>
    <definedName name="solver_umod" localSheetId="1" hidden="1">1</definedName>
    <definedName name="solver_urs" localSheetId="1" hidden="1">0</definedName>
    <definedName name="solver_val" localSheetId="1" hidden="1">0</definedName>
    <definedName name="solver_ver" localSheetId="1" hidden="1">3</definedName>
    <definedName name="solver_vol" localSheetId="1" hidden="1">0</definedName>
  </definedNames>
  <calcPr calcId="191029"/>
</workbook>
</file>

<file path=xl/calcChain.xml><?xml version="1.0" encoding="utf-8"?>
<calcChain xmlns="http://schemas.openxmlformats.org/spreadsheetml/2006/main">
  <c r="E12" i="3" l="1"/>
  <c r="F12" i="3" s="1"/>
  <c r="E11" i="3"/>
  <c r="F11" i="3" s="1"/>
  <c r="F10" i="2"/>
  <c r="F11" i="2"/>
  <c r="F9" i="2"/>
  <c r="E9" i="2"/>
  <c r="E5" i="3" s="1"/>
  <c r="E6" i="2"/>
  <c r="E11" i="2"/>
  <c r="E7" i="3" s="1"/>
  <c r="E10" i="2"/>
  <c r="E6" i="3" s="1"/>
  <c r="F7" i="3" l="1"/>
  <c r="F6" i="3"/>
  <c r="F5" i="3"/>
  <c r="F13" i="3"/>
  <c r="F8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satisfied Microsoft Office user</author>
  </authors>
  <commentList>
    <comment ref="C5" authorId="0" shapeId="0" xr:uid="{00000000-0006-0000-0100-000001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D5" authorId="0" shapeId="0" xr:uid="{00000000-0006-0000-0100-000002000000}">
      <text>
        <r>
          <rPr>
            <sz val="8"/>
            <color indexed="81"/>
            <rFont val="Tahoma"/>
            <family val="2"/>
          </rPr>
          <t>Variable cell</t>
        </r>
      </text>
    </comment>
    <comment ref="E6" authorId="0" shapeId="0" xr:uid="{00000000-0006-0000-0100-000003000000}">
      <text>
        <r>
          <rPr>
            <sz val="8"/>
            <color indexed="81"/>
            <rFont val="Tahoma"/>
            <family val="2"/>
          </rPr>
          <t>Objective cell</t>
        </r>
      </text>
    </comment>
    <comment ref="E9" authorId="0" shapeId="0" xr:uid="{00000000-0006-0000-0100-000004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0" authorId="0" shapeId="0" xr:uid="{00000000-0006-0000-0100-000005000000}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1" authorId="0" shapeId="0" xr:uid="{00000000-0006-0000-0100-000006000000}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<sst xmlns="http://schemas.openxmlformats.org/spreadsheetml/2006/main" count="28" uniqueCount="21">
  <si>
    <t/>
  </si>
  <si>
    <t>Aqua-Spas</t>
  </si>
  <si>
    <t>Hydro-Luxes</t>
  </si>
  <si>
    <t>Used</t>
  </si>
  <si>
    <t>Available</t>
  </si>
  <si>
    <t>Unit Profits</t>
  </si>
  <si>
    <t>Constraints</t>
  </si>
  <si>
    <t>Total Profit</t>
  </si>
  <si>
    <t>Number to Make</t>
  </si>
  <si>
    <t xml:space="preserve">   Pumps Req'd</t>
  </si>
  <si>
    <t xml:space="preserve">   Labor Req'd</t>
  </si>
  <si>
    <t xml:space="preserve">   Tubing Req'd</t>
  </si>
  <si>
    <t>Production Allocation to maximize Profit</t>
  </si>
  <si>
    <t>Resources</t>
  </si>
  <si>
    <t>Products</t>
  </si>
  <si>
    <t>Pump</t>
  </si>
  <si>
    <t>Tubing</t>
  </si>
  <si>
    <t>Labor</t>
  </si>
  <si>
    <t>Unit Profit</t>
  </si>
  <si>
    <t>Idle</t>
  </si>
  <si>
    <t>Case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</si>
</sst>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_);\(&quot;$&quot;#,##0\)"/>
    <numFmt numFmtId="165" formatCode="General_)"/>
    <numFmt numFmtId="166" formatCode="0_)"/>
    <numFmt numFmtId="167" formatCode="_([$$-409]* #,##0_);_([$$-409]* \(#,##0\);_([$$-409]* &quot;-&quot;_);_(@_)"/>
  </numFmts>
  <fonts count="15" x14ac:knownFonts="1">
    <font>
      <sz val="10"/>
      <name val="Arial"/>
      <family val="2"/>
    </font>
    <font>
      <b/>
      <sz val="10"/>
      <name val="Arial"/>
      <family val="2"/>
    </font>
    <font>
      <sz val="10"/>
      <color indexed="12"/>
      <name val="Courier"/>
      <family val="3"/>
    </font>
    <font>
      <sz val="10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165" fontId="0" fillId="0" borderId="0"/>
  </cellStyleXfs>
  <cellXfs count="65">
    <xf numFmtId="165" fontId="0" fillId="0" borderId="0" xfId="0"/>
    <xf numFmtId="165" fontId="3" fillId="2" borderId="0" xfId="0" applyFont="1" applyFill="1"/>
    <xf numFmtId="165" fontId="3" fillId="2" borderId="0" xfId="0" applyFont="1" applyFill="1" applyBorder="1" applyAlignment="1">
      <alignment horizontal="centerContinuous" vertical="center"/>
    </xf>
    <xf numFmtId="165" fontId="7" fillId="2" borderId="0" xfId="0" applyFont="1" applyFill="1" applyBorder="1" applyAlignment="1">
      <alignment horizontal="centerContinuous"/>
    </xf>
    <xf numFmtId="165" fontId="8" fillId="2" borderId="0" xfId="0" applyFont="1" applyFill="1"/>
    <xf numFmtId="165" fontId="2" fillId="2" borderId="0" xfId="0" applyNumberFormat="1" applyFont="1" applyFill="1" applyProtection="1">
      <protection locked="0"/>
    </xf>
    <xf numFmtId="165" fontId="0" fillId="2" borderId="0" xfId="0" applyFill="1"/>
    <xf numFmtId="165" fontId="0" fillId="2" borderId="0" xfId="0" applyNumberFormat="1" applyFill="1" applyProtection="1"/>
    <xf numFmtId="165" fontId="0" fillId="2" borderId="0" xfId="0" applyNumberFormat="1" applyFill="1" applyAlignment="1" applyProtection="1">
      <alignment horizontal="left"/>
    </xf>
    <xf numFmtId="165" fontId="0" fillId="2" borderId="0" xfId="0" applyFill="1" applyBorder="1"/>
    <xf numFmtId="165" fontId="4" fillId="2" borderId="1" xfId="0" applyFont="1" applyFill="1" applyBorder="1"/>
    <xf numFmtId="165" fontId="4" fillId="2" borderId="1" xfId="0" applyFont="1" applyFill="1" applyBorder="1" applyAlignment="1" applyProtection="1">
      <alignment horizontal="left"/>
    </xf>
    <xf numFmtId="164" fontId="1" fillId="2" borderId="1" xfId="0" applyNumberFormat="1" applyFont="1" applyFill="1" applyBorder="1" applyAlignment="1" applyProtection="1">
      <alignment horizontal="center"/>
    </xf>
    <xf numFmtId="165" fontId="4" fillId="2" borderId="1" xfId="0" applyFont="1" applyFill="1" applyBorder="1" applyAlignment="1" applyProtection="1">
      <alignment horizontal="center"/>
    </xf>
    <xf numFmtId="165" fontId="1" fillId="2" borderId="1" xfId="0" applyFont="1" applyFill="1" applyBorder="1" applyAlignment="1" applyProtection="1">
      <alignment horizontal="center"/>
    </xf>
    <xf numFmtId="37" fontId="10" fillId="4" borderId="1" xfId="0" applyNumberFormat="1" applyFont="1" applyFill="1" applyBorder="1" applyAlignment="1" applyProtection="1">
      <alignment horizontal="center"/>
    </xf>
    <xf numFmtId="165" fontId="10" fillId="4" borderId="1" xfId="0" applyFont="1" applyFill="1" applyBorder="1" applyAlignment="1" applyProtection="1">
      <alignment horizontal="center"/>
    </xf>
    <xf numFmtId="166" fontId="6" fillId="3" borderId="1" xfId="0" applyNumberFormat="1" applyFont="1" applyFill="1" applyBorder="1" applyAlignment="1" applyProtection="1">
      <alignment horizontal="center"/>
    </xf>
    <xf numFmtId="164" fontId="10" fillId="5" borderId="2" xfId="0" applyNumberFormat="1" applyFont="1" applyFill="1" applyBorder="1" applyAlignment="1" applyProtection="1">
      <alignment horizontal="center"/>
    </xf>
    <xf numFmtId="165" fontId="0" fillId="2" borderId="3" xfId="0" applyFill="1" applyBorder="1"/>
    <xf numFmtId="165" fontId="0" fillId="2" borderId="4" xfId="0" applyFill="1" applyBorder="1"/>
    <xf numFmtId="165" fontId="0" fillId="2" borderId="5" xfId="0" applyFill="1" applyBorder="1"/>
    <xf numFmtId="165" fontId="0" fillId="2" borderId="6" xfId="0" applyFill="1" applyBorder="1"/>
    <xf numFmtId="165" fontId="0" fillId="2" borderId="7" xfId="0" applyFill="1" applyBorder="1"/>
    <xf numFmtId="165" fontId="0" fillId="2" borderId="8" xfId="0" applyFill="1" applyBorder="1"/>
    <xf numFmtId="165" fontId="0" fillId="2" borderId="9" xfId="0" applyFill="1" applyBorder="1"/>
    <xf numFmtId="165" fontId="0" fillId="2" borderId="0" xfId="0" applyFill="1" applyBorder="1" applyAlignment="1">
      <alignment horizontal="right"/>
    </xf>
    <xf numFmtId="165" fontId="12" fillId="6" borderId="10" xfId="0" applyFont="1" applyFill="1" applyBorder="1"/>
    <xf numFmtId="165" fontId="0" fillId="2" borderId="10" xfId="0" applyFill="1" applyBorder="1"/>
    <xf numFmtId="165" fontId="0" fillId="2" borderId="4" xfId="0" applyFill="1" applyBorder="1" applyAlignment="1">
      <alignment horizontal="right"/>
    </xf>
    <xf numFmtId="165" fontId="0" fillId="2" borderId="9" xfId="0" applyFill="1" applyBorder="1" applyAlignment="1">
      <alignment horizontal="right"/>
    </xf>
    <xf numFmtId="167" fontId="0" fillId="2" borderId="5" xfId="0" applyNumberFormat="1" applyFill="1" applyBorder="1"/>
    <xf numFmtId="167" fontId="0" fillId="2" borderId="10" xfId="0" applyNumberFormat="1" applyFill="1" applyBorder="1"/>
    <xf numFmtId="167" fontId="12" fillId="7" borderId="10" xfId="0" applyNumberFormat="1" applyFont="1" applyFill="1" applyBorder="1"/>
    <xf numFmtId="165" fontId="0" fillId="8" borderId="6" xfId="0" applyFill="1" applyBorder="1"/>
    <xf numFmtId="165" fontId="0" fillId="8" borderId="0" xfId="0" applyFill="1" applyBorder="1"/>
    <xf numFmtId="167" fontId="12" fillId="8" borderId="7" xfId="0" applyNumberFormat="1" applyFont="1" applyFill="1" applyBorder="1"/>
    <xf numFmtId="165" fontId="0" fillId="8" borderId="11" xfId="0" applyFill="1" applyBorder="1"/>
    <xf numFmtId="165" fontId="0" fillId="8" borderId="12" xfId="0" applyFill="1" applyBorder="1"/>
    <xf numFmtId="167" fontId="12" fillId="8" borderId="13" xfId="0" applyNumberFormat="1" applyFont="1" applyFill="1" applyBorder="1"/>
    <xf numFmtId="165" fontId="0" fillId="2" borderId="4" xfId="0" applyFont="1" applyFill="1" applyBorder="1" applyAlignment="1" applyProtection="1">
      <alignment horizontal="left"/>
    </xf>
    <xf numFmtId="165" fontId="0" fillId="2" borderId="9" xfId="0" applyFont="1" applyFill="1" applyBorder="1" applyAlignment="1" applyProtection="1">
      <alignment horizontal="left"/>
    </xf>
    <xf numFmtId="165" fontId="11" fillId="9" borderId="3" xfId="0" applyFont="1" applyFill="1" applyBorder="1"/>
    <xf numFmtId="165" fontId="11" fillId="9" borderId="4" xfId="0" applyFont="1" applyFill="1" applyBorder="1"/>
    <xf numFmtId="165" fontId="11" fillId="9" borderId="4" xfId="0" applyFont="1" applyFill="1" applyBorder="1" applyAlignment="1">
      <alignment horizontal="center"/>
    </xf>
    <xf numFmtId="165" fontId="11" fillId="9" borderId="5" xfId="0" applyFont="1" applyFill="1" applyBorder="1" applyAlignment="1">
      <alignment horizontal="center"/>
    </xf>
    <xf numFmtId="165" fontId="13" fillId="2" borderId="0" xfId="0" applyFont="1" applyFill="1"/>
    <xf numFmtId="1" fontId="1" fillId="10" borderId="4" xfId="0" applyNumberFormat="1" applyFont="1" applyFill="1" applyBorder="1" applyAlignment="1" applyProtection="1">
      <alignment horizontal="right"/>
    </xf>
    <xf numFmtId="1" fontId="1" fillId="10" borderId="0" xfId="0" applyNumberFormat="1" applyFont="1" applyFill="1" applyBorder="1" applyAlignment="1" applyProtection="1">
      <alignment horizontal="right"/>
    </xf>
    <xf numFmtId="1" fontId="1" fillId="10" borderId="9" xfId="0" applyNumberFormat="1" applyFont="1" applyFill="1" applyBorder="1" applyAlignment="1" applyProtection="1">
      <alignment horizontal="right"/>
    </xf>
    <xf numFmtId="165" fontId="3" fillId="2" borderId="3" xfId="0" applyFont="1" applyFill="1" applyBorder="1"/>
    <xf numFmtId="165" fontId="3" fillId="2" borderId="4" xfId="0" applyFont="1" applyFill="1" applyBorder="1"/>
    <xf numFmtId="165" fontId="3" fillId="2" borderId="5" xfId="0" applyFont="1" applyFill="1" applyBorder="1"/>
    <xf numFmtId="165" fontId="4" fillId="2" borderId="0" xfId="0" applyFont="1" applyFill="1" applyBorder="1" applyAlignment="1" applyProtection="1">
      <alignment horizontal="center"/>
    </xf>
    <xf numFmtId="165" fontId="3" fillId="2" borderId="7" xfId="0" applyFont="1" applyFill="1" applyBorder="1"/>
    <xf numFmtId="165" fontId="3" fillId="2" borderId="0" xfId="0" applyFont="1" applyFill="1" applyBorder="1" applyAlignment="1">
      <alignment horizontal="center"/>
    </xf>
    <xf numFmtId="165" fontId="3" fillId="2" borderId="0" xfId="0" applyFont="1" applyFill="1" applyBorder="1"/>
    <xf numFmtId="164" fontId="3" fillId="2" borderId="7" xfId="0" applyNumberFormat="1" applyFont="1" applyFill="1" applyBorder="1" applyProtection="1"/>
    <xf numFmtId="165" fontId="4" fillId="2" borderId="6" xfId="0" applyFont="1" applyFill="1" applyBorder="1" applyAlignment="1" applyProtection="1">
      <alignment horizontal="left"/>
    </xf>
    <xf numFmtId="165" fontId="4" fillId="2" borderId="7" xfId="0" applyFont="1" applyFill="1" applyBorder="1" applyAlignment="1" applyProtection="1">
      <alignment horizontal="center"/>
    </xf>
    <xf numFmtId="37" fontId="1" fillId="2" borderId="7" xfId="0" applyNumberFormat="1" applyFont="1" applyFill="1" applyBorder="1" applyAlignment="1" applyProtection="1">
      <alignment horizontal="center"/>
    </xf>
    <xf numFmtId="165" fontId="3" fillId="2" borderId="9" xfId="0" applyFont="1" applyFill="1" applyBorder="1"/>
    <xf numFmtId="165" fontId="3" fillId="2" borderId="10" xfId="0" applyFont="1" applyFill="1" applyBorder="1"/>
    <xf numFmtId="165" fontId="1" fillId="3" borderId="4" xfId="0" applyFont="1" applyFill="1" applyBorder="1"/>
    <xf numFmtId="165" fontId="1" fillId="3" borderId="9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1028700</xdr:colOff>
      <xdr:row>0</xdr:row>
      <xdr:rowOff>95250</xdr:rowOff>
    </xdr:from>
    <xdr:to>
      <xdr:col>4</xdr:col>
      <xdr:colOff>114300</xdr:colOff>
      <xdr:row>2</xdr:row>
      <xdr:rowOff>76200</xdr:rowOff>
    </xdr:to>
    <xdr:sp macro="[0]!Toggle" textlink="">
      <xdr:nvSpPr>
        <xdr:cNvPr id="1026" name="Text 2">
          <a:extLs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>
          <a:spLocks noChangeArrowheads="1"/>
        </xdr:cNvSpPr>
      </xdr:nvSpPr>
      <xdr:spPr bwMode="auto">
        <a:xfrm>
          <a:off x="1028700" y="95250"/>
          <a:ext cx="193357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blurRad="63500" dist="35921" dir="2700000" algn="ctr" rotWithShape="0">
            <a:srgbClr val="000000"/>
          </a:outerShdw>
        </a:effec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Blue Ridge Hot Tubs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142875</xdr:rowOff>
        </xdr:from>
        <xdr:to>
          <xdr:col>6</xdr:col>
          <xdr:colOff>0</xdr:colOff>
          <xdr:row>2</xdr:row>
          <xdr:rowOff>19050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syncVertical="1" syncRef="A1" transitionEvaluation="1" codeName="Sheet1"/>
  <dimension ref="B2:IV65524"/>
  <sheetViews>
    <sheetView zoomScale="130" zoomScaleNormal="130" workbookViewId="0">
      <selection activeCell="E6" sqref="E6"/>
    </sheetView>
  </sheetViews>
  <sheetFormatPr defaultColWidth="9.7109375" defaultRowHeight="12.75" x14ac:dyDescent="0.2"/>
  <cols>
    <col min="1" max="1" width="9.7109375" style="6"/>
    <col min="2" max="2" width="16.7109375" style="6" bestFit="1" customWidth="1"/>
    <col min="3" max="4" width="13" style="6" customWidth="1"/>
    <col min="5" max="5" width="11.7109375" style="6" bestFit="1" customWidth="1"/>
    <col min="6" max="6" width="9.5703125" style="6" bestFit="1" customWidth="1"/>
    <col min="7" max="16384" width="9.7109375" style="6"/>
  </cols>
  <sheetData>
    <row r="2" spans="2:15" ht="15" x14ac:dyDescent="0.2">
      <c r="B2" s="1"/>
      <c r="C2" s="2"/>
      <c r="D2" s="3"/>
      <c r="E2" s="4"/>
      <c r="F2" s="1"/>
      <c r="G2" s="5"/>
      <c r="H2" s="5"/>
      <c r="I2" s="5"/>
    </row>
    <row r="3" spans="2:15" x14ac:dyDescent="0.2">
      <c r="B3" s="1"/>
      <c r="C3" s="1"/>
      <c r="D3" s="1"/>
      <c r="E3" s="1"/>
      <c r="F3" s="1"/>
      <c r="G3" s="7"/>
      <c r="H3" s="8" t="s">
        <v>0</v>
      </c>
      <c r="I3" s="7"/>
      <c r="J3" s="7"/>
    </row>
    <row r="4" spans="2:15" x14ac:dyDescent="0.2">
      <c r="B4" s="50" t="s">
        <v>20</v>
      </c>
      <c r="C4" s="13" t="s">
        <v>1</v>
      </c>
      <c r="D4" s="13" t="s">
        <v>2</v>
      </c>
      <c r="E4" s="51"/>
      <c r="F4" s="52"/>
      <c r="G4" s="7"/>
      <c r="H4" s="8" t="s">
        <v>0</v>
      </c>
      <c r="I4" s="7"/>
      <c r="J4" s="5"/>
      <c r="K4" s="5"/>
      <c r="L4" s="5"/>
      <c r="M4" s="5"/>
      <c r="N4" s="5"/>
      <c r="O4" s="5"/>
    </row>
    <row r="5" spans="2:15" ht="13.5" thickBot="1" x14ac:dyDescent="0.25">
      <c r="B5" s="10" t="s">
        <v>8</v>
      </c>
      <c r="C5" s="17">
        <v>250</v>
      </c>
      <c r="D5" s="17">
        <v>0</v>
      </c>
      <c r="E5" s="53" t="s">
        <v>7</v>
      </c>
      <c r="F5" s="54"/>
      <c r="H5" s="5"/>
      <c r="I5" s="5"/>
      <c r="J5" s="7"/>
    </row>
    <row r="6" spans="2:15" ht="14.25" thickTop="1" thickBot="1" x14ac:dyDescent="0.25">
      <c r="B6" s="11" t="s">
        <v>5</v>
      </c>
      <c r="C6" s="12">
        <v>350</v>
      </c>
      <c r="D6" s="12">
        <v>300</v>
      </c>
      <c r="E6" s="18">
        <f>C6*C5+D6*D5</f>
        <v>87500</v>
      </c>
      <c r="F6" s="54"/>
      <c r="G6" s="7"/>
      <c r="H6" s="7"/>
      <c r="I6" s="7"/>
      <c r="J6" s="5"/>
    </row>
    <row r="7" spans="2:15" ht="13.5" thickTop="1" x14ac:dyDescent="0.2">
      <c r="B7" s="22"/>
      <c r="C7" s="55"/>
      <c r="D7" s="55"/>
      <c r="E7" s="56"/>
      <c r="F7" s="57"/>
      <c r="G7" s="7"/>
      <c r="H7" s="7"/>
      <c r="I7" s="7"/>
      <c r="J7" s="5"/>
    </row>
    <row r="8" spans="2:15" x14ac:dyDescent="0.2">
      <c r="B8" s="58" t="s">
        <v>6</v>
      </c>
      <c r="C8" s="55"/>
      <c r="D8" s="55"/>
      <c r="E8" s="53" t="s">
        <v>3</v>
      </c>
      <c r="F8" s="59" t="s">
        <v>4</v>
      </c>
      <c r="G8" s="7"/>
      <c r="H8" s="7"/>
      <c r="I8" s="7"/>
    </row>
    <row r="9" spans="2:15" x14ac:dyDescent="0.2">
      <c r="B9" s="11" t="s">
        <v>9</v>
      </c>
      <c r="C9" s="14">
        <v>1</v>
      </c>
      <c r="D9" s="14">
        <v>1</v>
      </c>
      <c r="E9" s="15">
        <f>C9*C5+D9*D5</f>
        <v>250</v>
      </c>
      <c r="F9" s="60">
        <f>Calculate!D5</f>
        <v>250</v>
      </c>
      <c r="G9" s="5"/>
      <c r="H9" s="5"/>
      <c r="I9" s="5"/>
    </row>
    <row r="10" spans="2:15" x14ac:dyDescent="0.2">
      <c r="B10" s="11" t="s">
        <v>10</v>
      </c>
      <c r="C10" s="14">
        <v>9</v>
      </c>
      <c r="D10" s="14">
        <v>6</v>
      </c>
      <c r="E10" s="16">
        <f>C10*C5+D10*D5</f>
        <v>2250</v>
      </c>
      <c r="F10" s="60">
        <f>Calculate!D6</f>
        <v>2500</v>
      </c>
    </row>
    <row r="11" spans="2:15" x14ac:dyDescent="0.2">
      <c r="B11" s="11" t="s">
        <v>11</v>
      </c>
      <c r="C11" s="14">
        <v>12</v>
      </c>
      <c r="D11" s="14">
        <v>16</v>
      </c>
      <c r="E11" s="16">
        <f>C11*C5+D11*D5</f>
        <v>3000</v>
      </c>
      <c r="F11" s="60">
        <f>Calculate!D7</f>
        <v>3500</v>
      </c>
    </row>
    <row r="12" spans="2:15" x14ac:dyDescent="0.2">
      <c r="B12" s="24"/>
      <c r="C12" s="61"/>
      <c r="D12" s="61"/>
      <c r="E12" s="61"/>
      <c r="F12" s="62"/>
    </row>
    <row r="13" spans="2:15" x14ac:dyDescent="0.2">
      <c r="C13" s="1"/>
      <c r="D13" s="1"/>
      <c r="E13" s="1"/>
      <c r="F13" s="1"/>
    </row>
    <row r="65524" spans="256:256" x14ac:dyDescent="0.2">
      <c r="IV65524" s="6">
        <v>0</v>
      </c>
    </row>
  </sheetData>
  <phoneticPr fontId="9" type="noConversion"/>
  <printOptions gridLines="1" gridLinesSet="0"/>
  <pageMargins left="0.75" right="0.75" top="1" bottom="1" header="0.5" footer="0.5"/>
  <pageSetup orientation="portrait" horizontalDpi="4294967292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DC5BC-1EA8-4FC4-833C-60446CC0B208}">
  <sheetPr codeName="Sheet2"/>
  <dimension ref="A2:F14"/>
  <sheetViews>
    <sheetView tabSelected="1" workbookViewId="0">
      <selection activeCell="E22" sqref="E22"/>
    </sheetView>
  </sheetViews>
  <sheetFormatPr defaultRowHeight="12.75" x14ac:dyDescent="0.2"/>
  <cols>
    <col min="1" max="1" width="6" style="6" customWidth="1"/>
    <col min="2" max="2" width="2.85546875" style="6" customWidth="1"/>
    <col min="3" max="3" width="16.7109375" style="6" customWidth="1"/>
    <col min="4" max="6" width="19.5703125" style="6" customWidth="1"/>
    <col min="7" max="16384" width="9.140625" style="6"/>
  </cols>
  <sheetData>
    <row r="2" spans="1:6" ht="15.75" x14ac:dyDescent="0.25">
      <c r="B2" s="46" t="s">
        <v>12</v>
      </c>
    </row>
    <row r="4" spans="1:6" x14ac:dyDescent="0.2">
      <c r="B4" s="42" t="s">
        <v>13</v>
      </c>
      <c r="C4" s="43"/>
      <c r="D4" s="44" t="s">
        <v>4</v>
      </c>
      <c r="E4" s="44" t="s">
        <v>3</v>
      </c>
      <c r="F4" s="45" t="s">
        <v>19</v>
      </c>
    </row>
    <row r="5" spans="1:6" ht="18" customHeight="1" x14ac:dyDescent="0.2">
      <c r="B5" s="19"/>
      <c r="C5" s="20" t="s">
        <v>15</v>
      </c>
      <c r="D5" s="47">
        <v>250</v>
      </c>
      <c r="E5" s="29">
        <f>INT('Production Report'!E9)</f>
        <v>250</v>
      </c>
      <c r="F5" s="21">
        <f>D5-E5</f>
        <v>0</v>
      </c>
    </row>
    <row r="6" spans="1:6" ht="18" customHeight="1" x14ac:dyDescent="0.2">
      <c r="B6" s="22"/>
      <c r="C6" s="9" t="s">
        <v>17</v>
      </c>
      <c r="D6" s="48">
        <v>2500</v>
      </c>
      <c r="E6" s="26">
        <f>INT('Production Report'!E10)</f>
        <v>2250</v>
      </c>
      <c r="F6" s="23">
        <f t="shared" ref="F6:F7" si="0">D6-E6</f>
        <v>250</v>
      </c>
    </row>
    <row r="7" spans="1:6" ht="18" customHeight="1" x14ac:dyDescent="0.2">
      <c r="B7" s="24"/>
      <c r="C7" s="25" t="s">
        <v>16</v>
      </c>
      <c r="D7" s="49">
        <v>3500</v>
      </c>
      <c r="E7" s="30">
        <f>INT('Production Report'!E11)</f>
        <v>3000</v>
      </c>
      <c r="F7" s="28">
        <f t="shared" si="0"/>
        <v>500</v>
      </c>
    </row>
    <row r="8" spans="1:6" ht="15" x14ac:dyDescent="0.25">
      <c r="B8" s="24"/>
      <c r="C8" s="25"/>
      <c r="D8" s="25"/>
      <c r="E8" s="25"/>
      <c r="F8" s="27">
        <f>SUM(F5:F7)</f>
        <v>750</v>
      </c>
    </row>
    <row r="9" spans="1:6" ht="7.5" customHeight="1" x14ac:dyDescent="0.25">
      <c r="A9" s="9"/>
      <c r="B9" s="37"/>
      <c r="C9" s="38"/>
      <c r="D9" s="38"/>
      <c r="E9" s="38"/>
      <c r="F9" s="39"/>
    </row>
    <row r="10" spans="1:6" x14ac:dyDescent="0.2">
      <c r="A10" s="9"/>
      <c r="B10" s="42" t="s">
        <v>14</v>
      </c>
      <c r="C10" s="43"/>
      <c r="D10" s="44" t="s">
        <v>18</v>
      </c>
      <c r="E10" s="44" t="s">
        <v>8</v>
      </c>
      <c r="F10" s="45" t="s">
        <v>7</v>
      </c>
    </row>
    <row r="11" spans="1:6" ht="18" customHeight="1" x14ac:dyDescent="0.2">
      <c r="A11" s="9"/>
      <c r="B11" s="19"/>
      <c r="C11" s="40" t="s">
        <v>1</v>
      </c>
      <c r="D11" s="20">
        <v>350</v>
      </c>
      <c r="E11" s="63">
        <f>INT('Production Report'!C5)</f>
        <v>250</v>
      </c>
      <c r="F11" s="31">
        <f>D11*E11</f>
        <v>87500</v>
      </c>
    </row>
    <row r="12" spans="1:6" ht="18" customHeight="1" x14ac:dyDescent="0.2">
      <c r="A12" s="9"/>
      <c r="B12" s="24"/>
      <c r="C12" s="41" t="s">
        <v>2</v>
      </c>
      <c r="D12" s="25">
        <v>300</v>
      </c>
      <c r="E12" s="64">
        <f>INT('Production Report'!D5)</f>
        <v>0</v>
      </c>
      <c r="F12" s="32">
        <f>D12*E12</f>
        <v>0</v>
      </c>
    </row>
    <row r="13" spans="1:6" ht="15" x14ac:dyDescent="0.25">
      <c r="A13" s="9"/>
      <c r="B13" s="24"/>
      <c r="C13" s="25"/>
      <c r="D13" s="25"/>
      <c r="E13" s="25"/>
      <c r="F13" s="33">
        <f>SUM(F11:F12)</f>
        <v>87500</v>
      </c>
    </row>
    <row r="14" spans="1:6" ht="7.5" customHeight="1" x14ac:dyDescent="0.25">
      <c r="A14" s="9"/>
      <c r="B14" s="34"/>
      <c r="C14" s="35"/>
      <c r="D14" s="35"/>
      <c r="E14" s="35"/>
      <c r="F14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calculate">
                <anchor moveWithCells="1" sizeWithCells="1">
                  <from>
                    <xdr:col>5</xdr:col>
                    <xdr:colOff>0</xdr:colOff>
                    <xdr:row>0</xdr:row>
                    <xdr:rowOff>142875</xdr:rowOff>
                  </from>
                  <to>
                    <xdr:col>6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2009-12-16T03:37:07Z</outs:dateTime>
      <outs:isPinned>true</outs:isPinned>
    </outs:relatedDate>
    <outs:relatedDate>
      <outs:type>2</outs:type>
      <outs:displayName>Created</outs:displayName>
      <outs:dateTime>1999-08-27T19:50:30Z</outs:dateTime>
      <outs:isPinned>true</outs:isPinned>
    </outs:relatedDate>
    <outs:relatedDate>
      <outs:type>4</outs:type>
      <outs:displayName>Last Printed</outs:displayName>
      <outs:dateTime>1996-09-19T18:10:37Z</outs:dateTime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Department of Management Scien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Windows User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D569C76A-00B8-4E57-A775-D1669DBC9CAB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Production Report</vt:lpstr>
      <vt:lpstr>Calculate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Ragsdale</dc:creator>
  <cp:lastModifiedBy>admin</cp:lastModifiedBy>
  <cp:lastPrinted>1996-09-19T18:10:37Z</cp:lastPrinted>
  <dcterms:created xsi:type="dcterms:W3CDTF">1999-08-27T19:50:30Z</dcterms:created>
  <dcterms:modified xsi:type="dcterms:W3CDTF">2021-04-29T03:45:48Z</dcterms:modified>
</cp:coreProperties>
</file>